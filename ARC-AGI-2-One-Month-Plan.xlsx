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Gates" sheetId="2" state="visible" r:id="rId4"/>
    <sheet name="Results Log" sheetId="3" state="visible" r:id="rId5"/>
    <sheet name="Setup &amp; Constrain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<sst xmlns="http://schemas.openxmlformats.org/spreadsheetml/2006/main" count="217" uniqueCount="122">
  <si>
    <t xml:space="preserve">ARC-AGI-2 — One-Month Plan (Jun 1–30, 2026)</t>
  </si>
  <si>
    <t xml:space="preserve">Two-person team · A = method/model · B = infra/eval · Both = shared. Status dropdown on each row. Gate rows are the weekly go/no-go.</t>
  </si>
  <si>
    <t xml:space="preserve">Week</t>
  </si>
  <si>
    <t xml:space="preserve">Days</t>
  </si>
  <si>
    <t xml:space="preserve">Task</t>
  </si>
  <si>
    <t xml:space="preserve">Owner</t>
  </si>
  <si>
    <t xml:space="preserve">Type</t>
  </si>
  <si>
    <t xml:space="preserve">Status</t>
  </si>
  <si>
    <t xml:space="preserve">Notes</t>
  </si>
  <si>
    <t xml:space="preserve">Week 1</t>
  </si>
  <si>
    <t xml:space="preserve">Jun 1–7</t>
  </si>
  <si>
    <t xml:space="preserve">Stand up shared repo + results log on day one (don't defer)</t>
  </si>
  <si>
    <t xml:space="preserve">Both</t>
  </si>
  <si>
    <t xml:space="preserve">Setup</t>
  </si>
  <si>
    <t xml:space="preserve">Not started</t>
  </si>
  <si>
    <t xml:space="preserve">Solve training tasks by hand ~1 hr/day to build puzzle intuition</t>
  </si>
  <si>
    <t xml:space="preserve">Study</t>
  </si>
  <si>
    <t xml:space="preserve">Load ARC-AGI-2 public training + eval data locally on the Mac</t>
  </si>
  <si>
    <t xml:space="preserve">B</t>
  </si>
  <si>
    <t xml:space="preserve">Pick ONE simplest credible baseline to fork (TTT starter or TRM)</t>
  </si>
  <si>
    <t xml:space="preserve">Get baseline running in a Kaggle GPU notebook; reproduce its public-eval score</t>
  </si>
  <si>
    <t xml:space="preserve">A</t>
  </si>
  <si>
    <t xml:space="preserve">Method</t>
  </si>
  <si>
    <t xml:space="preserve">Build local eval harness on Mac: load tasks, run solver, score with official 2-attempt metric, per-task report</t>
  </si>
  <si>
    <t xml:space="preserve">Infra</t>
  </si>
  <si>
    <t xml:space="preserve">GATE 1</t>
  </si>
  <si>
    <t xml:space="preserve">Jun 7</t>
  </si>
  <si>
    <t xml:space="preserve">Baseline reproduced on Kaggle within tolerance AND local harness matches the numbers. Can't reproduce in a week = early infra red flag.</t>
  </si>
  <si>
    <t xml:space="preserve">Gate</t>
  </si>
  <si>
    <t xml:space="preserve">Week 2</t>
  </si>
  <si>
    <t xml:space="preserve">Jun 8–14</t>
  </si>
  <si>
    <t xml:space="preserve">Push full end-to-end baseline submission to the leaderboard</t>
  </si>
  <si>
    <t xml:space="preserve">Confirm it runs inside 12h / single-GPU / no-internet envelope</t>
  </si>
  <si>
    <t xml:space="preserve">Build augmentation pipeline: rotations, reflections, color permutations</t>
  </si>
  <si>
    <t xml:space="preserve">Build candidate-generation + voting/selection scaffold</t>
  </si>
  <si>
    <t xml:space="preserve">Error analysis: cluster where the baseline fails by task type</t>
  </si>
  <si>
    <t xml:space="preserve">GATE 2</t>
  </si>
  <si>
    <t xml:space="preserve">Jun 14</t>
  </si>
  <si>
    <t xml:space="preserve">Scored leaderboard submission landed, comfortably inside compute budget, with a ranked list of failure clusters to attack.</t>
  </si>
  <si>
    <t xml:space="preserve">Week 3</t>
  </si>
  <si>
    <t xml:space="preserve">Jun 15–21</t>
  </si>
  <si>
    <t xml:space="preserve">Pick 2–3 high-leverage improvements from error analysis (no more)</t>
  </si>
  <si>
    <t xml:space="preserve">Push the training/model side: LoRA rank, augmentation count, inference-time compute</t>
  </si>
  <si>
    <t xml:space="preserve">Own the two-attempt strategy: make the 2nd guess diverse, not a near-duplicate</t>
  </si>
  <si>
    <t xml:space="preserve">Log every run: change, score, delta vs baseline, keep/drop, why</t>
  </si>
  <si>
    <t xml:space="preserve">GATE 3</t>
  </si>
  <si>
    <t xml:space="preserve">Jun 21</t>
  </si>
  <si>
    <t xml:space="preserve">TRAJECTORY TEST: own changes beat baseline above noise AND idea queue is LONGER than at week start. Slope matters more than absolute score.</t>
  </si>
  <si>
    <t xml:space="preserve">Week 4</t>
  </si>
  <si>
    <t xml:space="preserve">Jun 22–30</t>
  </si>
  <si>
    <t xml:space="preserve">Consolidate gains on the best-performing direction</t>
  </si>
  <si>
    <t xml:space="preserve">Harden the submission; re-verify compute envelope</t>
  </si>
  <si>
    <t xml:space="preserve">Write the month up in the results log (seeds the paper either way)</t>
  </si>
  <si>
    <t xml:space="preserve">(Optional insurance) Get one AGI-3 preview game responding to a scripted agent — ~2-3 hrs</t>
  </si>
  <si>
    <t xml:space="preserve">FINAL GATE</t>
  </si>
  <si>
    <t xml:space="preserve">Jun 30</t>
  </si>
  <si>
    <t xml:space="preserve">Run the go/no-go on the Gates tab. 3–4 green = continue AGI-2. Reproduced-but-stuck + empty idea queue = switch to AGI-3 (pipeline/harness/log all carry over).</t>
  </si>
  <si>
    <t xml:space="preserve">Tasks done:</t>
  </si>
  <si>
    <t xml:space="preserve">Go / No-Go Gates</t>
  </si>
  <si>
    <t xml:space="preserve">Tick each criterion. The weekly gates keep you honest; the Final Gate decides AGI-2 vs switch to AGI-3.</t>
  </si>
  <si>
    <t xml:space="preserve">When</t>
  </si>
  <si>
    <t xml:space="preserve">Gate / Criterion</t>
  </si>
  <si>
    <t xml:space="preserve">Met?</t>
  </si>
  <si>
    <t xml:space="preserve">Gate 1 — Jun 7</t>
  </si>
  <si>
    <t xml:space="preserve">Baseline reproduced on Kaggle within tolerance</t>
  </si>
  <si>
    <t xml:space="preserve">Local eval harness produces the same numbers as Kaggle</t>
  </si>
  <si>
    <t xml:space="preserve">Gate 2 — Jun 14</t>
  </si>
  <si>
    <t xml:space="preserve">A scored submission has landed on the leaderboard</t>
  </si>
  <si>
    <t xml:space="preserve">Submission runs comfortably inside the 12h / 1-GPU budget</t>
  </si>
  <si>
    <t xml:space="preserve">Error analysis gives a ranked list of failure clusters</t>
  </si>
  <si>
    <t xml:space="preserve">Gate 3 — Jun 21</t>
  </si>
  <si>
    <t xml:space="preserve">Our own changes beat the baseline by a margin above noise</t>
  </si>
  <si>
    <t xml:space="preserve">Untried-idea queue is LONGER than at the start of the week</t>
  </si>
  <si>
    <t xml:space="preserve">FINAL — Jun 30</t>
  </si>
  <si>
    <t xml:space="preserve">Baseline reproduced offline (table stakes)</t>
  </si>
  <si>
    <t xml:space="preserve">Own changes beat baseline by a meaningful margin</t>
  </si>
  <si>
    <t xml:space="preserve">Non-empty queue of promising ideas</t>
  </si>
  <si>
    <t xml:space="preserve">Team is energized, not grinding</t>
  </si>
  <si>
    <t xml:space="preserve">DECISION</t>
  </si>
  <si>
    <t xml:space="preserve">Rule of thumb at Jun 30:</t>
  </si>
  <si>
    <t xml:space="preserve">3–4 of the FINAL criteria = Yes  →  Continue AGI-2; you're on a real slope.</t>
  </si>
  <si>
    <t xml:space="preserve">Reproduced but stuck at baseline + empty idea queue  →  Switch to AGI-3.</t>
  </si>
  <si>
    <t xml:space="preserve">Couldn't even reproduce the baseline offline  →  Fit/infra problem; lean toward switching.</t>
  </si>
  <si>
    <t xml:space="preserve">Switching is not a loss: Kaggle pipeline, eval harness, team workflow, and the results log all carry over to AGI-3.</t>
  </si>
  <si>
    <t xml:space="preserve">Results Log</t>
  </si>
  <si>
    <t xml:space="preserve">Log every experiment from day one. This is your debugging trail AND the skeleton of the paper. Keep the discipline even when busy.</t>
  </si>
  <si>
    <t xml:space="preserve">Date</t>
  </si>
  <si>
    <t xml:space="preserve">Who</t>
  </si>
  <si>
    <t xml:space="preserve">Change / experiment</t>
  </si>
  <si>
    <t xml:space="preserve">Baseline score</t>
  </si>
  <si>
    <t xml:space="preserve">New score</t>
  </si>
  <si>
    <t xml:space="preserve">Delta</t>
  </si>
  <si>
    <t xml:space="preserve">Keep?</t>
  </si>
  <si>
    <t xml:space="preserve">Why / next idea</t>
  </si>
  <si>
    <t xml:space="preserve">2026-06-05</t>
  </si>
  <si>
    <t xml:space="preserve">Forked TRM baseline, reproduced public-eval</t>
  </si>
  <si>
    <t xml:space="preserve">Keep</t>
  </si>
  <si>
    <t xml:space="preserve">Matches reported ~7%. Baseline established.</t>
  </si>
  <si>
    <t xml:space="preserve">Setup &amp; Hardware Constraints</t>
  </si>
  <si>
    <t xml:space="preserve">Read once, pin forever. Design every method to fit the eval envelope from day one.</t>
  </si>
  <si>
    <t xml:space="preserve">Item</t>
  </si>
  <si>
    <t xml:space="preserve">Detail</t>
  </si>
  <si>
    <t xml:space="preserve">Eval envelope (HARD)</t>
  </si>
  <si>
    <t xml:space="preserve">Final scored submission runs offline in a Kaggle notebook on a single GPU (historically P100-class) for up to 12 hours, no internet. Confirm the exact 2026 spec on the Kaggle page. Every method must fit THIS.</t>
  </si>
  <si>
    <t xml:space="preserve">Scoring</t>
  </si>
  <si>
    <t xml:space="preserve">Submit exactly 2 predictions per test input; if either exactly matches ground truth, that task scores 1, else 0. Final = average. Exploit the 2 attempts.</t>
  </si>
  <si>
    <t xml:space="preserve">Mac mini 64GB (role)</t>
  </si>
  <si>
    <t xml:space="preserve">Development cockpit, NOT the training box. Use for: eval harness, augmentation/data pipeline, results log, light local inference (MLX or llama.cpp, quantized models fit easily in 64GB).</t>
  </si>
  <si>
    <t xml:space="preserve">Mac — do NOT</t>
  </si>
  <si>
    <t xml:space="preserve">Don't try to run the CUDA TTT stack (unsloth, vLLM, bitsandbytes 4-bit, flash-attention) on Metal. It's a time sink — they're CUDA-only or poorly supported on MPS.</t>
  </si>
  <si>
    <t xml:space="preserve">Mac — happy exception</t>
  </si>
  <si>
    <t xml:space="preserve">TRM (~7M params) is small enough to actually TRAIN locally via MLX or PyTorch-MPS. Good fit for your hardware and a strong-eng / lighter-ML team.</t>
  </si>
  <si>
    <t xml:space="preserve">Dev-time training</t>
  </si>
  <si>
    <t xml:space="preserve">Use Kaggle's free GPU notebooks (separate from the submission) or a cheap rented GPU (Colab / RunPod / Lambda). Keep versions pinned so 'works on my Mac' == 'works in eval'.</t>
  </si>
  <si>
    <t xml:space="preserve">Storage (2TB)</t>
  </si>
  <si>
    <t xml:space="preserve">Non-issue. ARC data is tiny and checkpoints are small. Plenty of headroom.</t>
  </si>
  <si>
    <t xml:space="preserve">Method steer</t>
  </si>
  <si>
    <t xml:space="preserve">Hardware + 12h/1-GPU envelope both point to the lean end: TRM-style or a single small-model TTT, not a big multi-GPU ensemble you couldn't submit anyway.</t>
  </si>
  <si>
    <t xml:space="preserve">Open-source rule</t>
  </si>
  <si>
    <t xml:space="preserve">Prize eligibility requires open-sourcing your solution BEFORE receiving official private scores. Use a permissive license (CC0 or MIT-0). Keep repo hygiene from day one.</t>
  </si>
  <si>
    <t xml:space="preserve">Baselines to fork</t>
  </si>
  <si>
    <t xml:space="preserve">NVARC (2025 1st, TTT+TRM), MindsAI (2025 3rd, engineered TTT) — both open-source with papers. TRM (2025 paper winner) — smallest and most tractable to modify.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</si>
</sst>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+0.0%;\-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3F8"/>
        <bgColor rgb="FFFFFFFF"/>
      </patternFill>
    </fill>
    <fill>
      <patternFill patternType="solid">
        <fgColor rgb="FFFCE8D5"/>
        <bgColor rgb="FFEEF3F8"/>
      </patternFill>
    </fill>
    <fill>
      <patternFill patternType="solid">
        <fgColor rgb="FFFFFFFF"/>
        <bgColor rgb="FFEE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6100"/>
      </font>
    </dxf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E7490"/>
      <rgbColor rgb="FFC0C0C0"/>
      <rgbColor rgb="FF888888"/>
      <rgbColor rgb="FF9999FF"/>
      <rgbColor rgb="FF7C3AED"/>
      <rgbColor rgb="FFFCE8D5"/>
      <rgbColor rgb="FFEEF3F8"/>
      <rgbColor rgb="FF660066"/>
      <rgbColor rgb="FFFF8080"/>
      <rgbColor rgb="FF0066CC"/>
      <rgbColor rgb="FFC9D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58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5.5" hidden="false" customHeight="true" outlineLevel="0" collapsed="false">
      <c r="A5" s="4" t="s">
        <v>9</v>
      </c>
      <c r="B5" s="4" t="s">
        <v>10</v>
      </c>
      <c r="C5" s="5" t="s">
        <v>11</v>
      </c>
      <c r="D5" s="4" t="s">
        <v>12</v>
      </c>
      <c r="E5" s="6" t="s">
        <v>13</v>
      </c>
      <c r="F5" s="4" t="s">
        <v>14</v>
      </c>
      <c r="G5" s="5"/>
    </row>
    <row r="6" customFormat="false" ht="25.5" hidden="false" customHeight="true" outlineLevel="0" collapsed="false">
      <c r="A6" s="7" t="s">
        <v>9</v>
      </c>
      <c r="B6" s="7" t="s">
        <v>10</v>
      </c>
      <c r="C6" s="8" t="s">
        <v>15</v>
      </c>
      <c r="D6" s="7" t="s">
        <v>12</v>
      </c>
      <c r="E6" s="9" t="s">
        <v>16</v>
      </c>
      <c r="F6" s="7" t="s">
        <v>14</v>
      </c>
      <c r="G6" s="8"/>
    </row>
    <row r="7" customFormat="false" ht="25.5" hidden="false" customHeight="true" outlineLevel="0" collapsed="false">
      <c r="A7" s="4" t="s">
        <v>9</v>
      </c>
      <c r="B7" s="4" t="s">
        <v>10</v>
      </c>
      <c r="C7" s="5" t="s">
        <v>17</v>
      </c>
      <c r="D7" s="4" t="s">
        <v>18</v>
      </c>
      <c r="E7" s="6" t="s">
        <v>13</v>
      </c>
      <c r="F7" s="4" t="s">
        <v>14</v>
      </c>
      <c r="G7" s="5"/>
    </row>
    <row r="8" customFormat="false" ht="25.5" hidden="false" customHeight="true" outlineLevel="0" collapsed="false">
      <c r="A8" s="7" t="s">
        <v>9</v>
      </c>
      <c r="B8" s="7" t="s">
        <v>10</v>
      </c>
      <c r="C8" s="8" t="s">
        <v>19</v>
      </c>
      <c r="D8" s="7" t="s">
        <v>12</v>
      </c>
      <c r="E8" s="10" t="s">
        <v>13</v>
      </c>
      <c r="F8" s="7" t="s">
        <v>14</v>
      </c>
      <c r="G8" s="8"/>
    </row>
    <row r="9" customFormat="false" ht="25.5" hidden="false" customHeight="true" outlineLevel="0" collapsed="false">
      <c r="A9" s="4" t="s">
        <v>9</v>
      </c>
      <c r="B9" s="4" t="s">
        <v>10</v>
      </c>
      <c r="C9" s="5" t="s">
        <v>20</v>
      </c>
      <c r="D9" s="4" t="s">
        <v>21</v>
      </c>
      <c r="E9" s="11" t="s">
        <v>22</v>
      </c>
      <c r="F9" s="4" t="s">
        <v>14</v>
      </c>
      <c r="G9" s="5"/>
    </row>
    <row r="10" customFormat="false" ht="25.5" hidden="false" customHeight="true" outlineLevel="0" collapsed="false">
      <c r="A10" s="7" t="s">
        <v>9</v>
      </c>
      <c r="B10" s="7" t="s">
        <v>10</v>
      </c>
      <c r="C10" s="8" t="s">
        <v>23</v>
      </c>
      <c r="D10" s="7" t="s">
        <v>18</v>
      </c>
      <c r="E10" s="12" t="s">
        <v>24</v>
      </c>
      <c r="F10" s="7" t="s">
        <v>14</v>
      </c>
      <c r="G10" s="8"/>
    </row>
    <row r="11" customFormat="false" ht="30" hidden="false" customHeight="true" outlineLevel="0" collapsed="false">
      <c r="A11" s="13" t="s">
        <v>25</v>
      </c>
      <c r="B11" s="13" t="s">
        <v>26</v>
      </c>
      <c r="C11" s="14" t="s">
        <v>27</v>
      </c>
      <c r="D11" s="13" t="s">
        <v>12</v>
      </c>
      <c r="E11" s="13" t="s">
        <v>28</v>
      </c>
      <c r="F11" s="13"/>
      <c r="G11" s="14"/>
    </row>
    <row r="12" customFormat="false" ht="25.5" hidden="false" customHeight="true" outlineLevel="0" collapsed="false">
      <c r="A12" s="7" t="s">
        <v>29</v>
      </c>
      <c r="B12" s="7" t="s">
        <v>30</v>
      </c>
      <c r="C12" s="8" t="s">
        <v>31</v>
      </c>
      <c r="D12" s="7" t="s">
        <v>21</v>
      </c>
      <c r="E12" s="15" t="s">
        <v>22</v>
      </c>
      <c r="F12" s="7" t="s">
        <v>14</v>
      </c>
      <c r="G12" s="8"/>
    </row>
    <row r="13" customFormat="false" ht="25.5" hidden="false" customHeight="true" outlineLevel="0" collapsed="false">
      <c r="A13" s="4" t="s">
        <v>29</v>
      </c>
      <c r="B13" s="4" t="s">
        <v>30</v>
      </c>
      <c r="C13" s="5" t="s">
        <v>32</v>
      </c>
      <c r="D13" s="4" t="s">
        <v>21</v>
      </c>
      <c r="E13" s="16" t="s">
        <v>24</v>
      </c>
      <c r="F13" s="4" t="s">
        <v>14</v>
      </c>
      <c r="G13" s="5"/>
    </row>
    <row r="14" customFormat="false" ht="25.5" hidden="false" customHeight="true" outlineLevel="0" collapsed="false">
      <c r="A14" s="7" t="s">
        <v>29</v>
      </c>
      <c r="B14" s="7" t="s">
        <v>30</v>
      </c>
      <c r="C14" s="8" t="s">
        <v>33</v>
      </c>
      <c r="D14" s="7" t="s">
        <v>18</v>
      </c>
      <c r="E14" s="12" t="s">
        <v>24</v>
      </c>
      <c r="F14" s="7" t="s">
        <v>14</v>
      </c>
      <c r="G14" s="8"/>
    </row>
    <row r="15" customFormat="false" ht="25.5" hidden="false" customHeight="true" outlineLevel="0" collapsed="false">
      <c r="A15" s="4" t="s">
        <v>29</v>
      </c>
      <c r="B15" s="4" t="s">
        <v>30</v>
      </c>
      <c r="C15" s="5" t="s">
        <v>34</v>
      </c>
      <c r="D15" s="4" t="s">
        <v>18</v>
      </c>
      <c r="E15" s="16" t="s">
        <v>24</v>
      </c>
      <c r="F15" s="4" t="s">
        <v>14</v>
      </c>
      <c r="G15" s="5"/>
    </row>
    <row r="16" customFormat="false" ht="25.5" hidden="false" customHeight="true" outlineLevel="0" collapsed="false">
      <c r="A16" s="7" t="s">
        <v>29</v>
      </c>
      <c r="B16" s="7" t="s">
        <v>30</v>
      </c>
      <c r="C16" s="8" t="s">
        <v>35</v>
      </c>
      <c r="D16" s="7" t="s">
        <v>12</v>
      </c>
      <c r="E16" s="9" t="s">
        <v>16</v>
      </c>
      <c r="F16" s="7" t="s">
        <v>14</v>
      </c>
      <c r="G16" s="8"/>
    </row>
    <row r="17" customFormat="false" ht="30" hidden="false" customHeight="true" outlineLevel="0" collapsed="false">
      <c r="A17" s="13" t="s">
        <v>36</v>
      </c>
      <c r="B17" s="13" t="s">
        <v>37</v>
      </c>
      <c r="C17" s="14" t="s">
        <v>38</v>
      </c>
      <c r="D17" s="13" t="s">
        <v>12</v>
      </c>
      <c r="E17" s="13" t="s">
        <v>28</v>
      </c>
      <c r="F17" s="13"/>
      <c r="G17" s="14"/>
    </row>
    <row r="18" customFormat="false" ht="25.5" hidden="false" customHeight="true" outlineLevel="0" collapsed="false">
      <c r="A18" s="7" t="s">
        <v>39</v>
      </c>
      <c r="B18" s="7" t="s">
        <v>40</v>
      </c>
      <c r="C18" s="8" t="s">
        <v>41</v>
      </c>
      <c r="D18" s="7" t="s">
        <v>12</v>
      </c>
      <c r="E18" s="15" t="s">
        <v>22</v>
      </c>
      <c r="F18" s="7" t="s">
        <v>14</v>
      </c>
      <c r="G18" s="8"/>
    </row>
    <row r="19" customFormat="false" ht="25.5" hidden="false" customHeight="true" outlineLevel="0" collapsed="false">
      <c r="A19" s="4" t="s">
        <v>39</v>
      </c>
      <c r="B19" s="4" t="s">
        <v>40</v>
      </c>
      <c r="C19" s="5" t="s">
        <v>42</v>
      </c>
      <c r="D19" s="4" t="s">
        <v>21</v>
      </c>
      <c r="E19" s="11" t="s">
        <v>22</v>
      </c>
      <c r="F19" s="4" t="s">
        <v>14</v>
      </c>
      <c r="G19" s="5"/>
    </row>
    <row r="20" customFormat="false" ht="25.5" hidden="false" customHeight="true" outlineLevel="0" collapsed="false">
      <c r="A20" s="7" t="s">
        <v>39</v>
      </c>
      <c r="B20" s="7" t="s">
        <v>40</v>
      </c>
      <c r="C20" s="8" t="s">
        <v>43</v>
      </c>
      <c r="D20" s="7" t="s">
        <v>18</v>
      </c>
      <c r="E20" s="12" t="s">
        <v>24</v>
      </c>
      <c r="F20" s="7" t="s">
        <v>14</v>
      </c>
      <c r="G20" s="8"/>
    </row>
    <row r="21" customFormat="false" ht="25.5" hidden="false" customHeight="true" outlineLevel="0" collapsed="false">
      <c r="A21" s="4" t="s">
        <v>39</v>
      </c>
      <c r="B21" s="4" t="s">
        <v>40</v>
      </c>
      <c r="C21" s="5" t="s">
        <v>44</v>
      </c>
      <c r="D21" s="4" t="s">
        <v>12</v>
      </c>
      <c r="E21" s="16" t="s">
        <v>24</v>
      </c>
      <c r="F21" s="4" t="s">
        <v>14</v>
      </c>
      <c r="G21" s="5"/>
    </row>
    <row r="22" customFormat="false" ht="30" hidden="false" customHeight="true" outlineLevel="0" collapsed="false">
      <c r="A22" s="13" t="s">
        <v>45</v>
      </c>
      <c r="B22" s="13" t="s">
        <v>46</v>
      </c>
      <c r="C22" s="14" t="s">
        <v>47</v>
      </c>
      <c r="D22" s="13" t="s">
        <v>12</v>
      </c>
      <c r="E22" s="13" t="s">
        <v>28</v>
      </c>
      <c r="F22" s="13"/>
      <c r="G22" s="14"/>
    </row>
    <row r="23" customFormat="false" ht="25.5" hidden="false" customHeight="true" outlineLevel="0" collapsed="false">
      <c r="A23" s="4" t="s">
        <v>48</v>
      </c>
      <c r="B23" s="4" t="s">
        <v>49</v>
      </c>
      <c r="C23" s="5" t="s">
        <v>50</v>
      </c>
      <c r="D23" s="4" t="s">
        <v>21</v>
      </c>
      <c r="E23" s="11" t="s">
        <v>22</v>
      </c>
      <c r="F23" s="4" t="s">
        <v>14</v>
      </c>
      <c r="G23" s="5"/>
    </row>
    <row r="24" customFormat="false" ht="25.5" hidden="false" customHeight="true" outlineLevel="0" collapsed="false">
      <c r="A24" s="7" t="s">
        <v>48</v>
      </c>
      <c r="B24" s="7" t="s">
        <v>49</v>
      </c>
      <c r="C24" s="8" t="s">
        <v>51</v>
      </c>
      <c r="D24" s="7" t="s">
        <v>18</v>
      </c>
      <c r="E24" s="12" t="s">
        <v>24</v>
      </c>
      <c r="F24" s="7" t="s">
        <v>14</v>
      </c>
      <c r="G24" s="8"/>
    </row>
    <row r="25" customFormat="false" ht="25.5" hidden="false" customHeight="true" outlineLevel="0" collapsed="false">
      <c r="A25" s="4" t="s">
        <v>48</v>
      </c>
      <c r="B25" s="4" t="s">
        <v>49</v>
      </c>
      <c r="C25" s="5" t="s">
        <v>52</v>
      </c>
      <c r="D25" s="4" t="s">
        <v>12</v>
      </c>
      <c r="E25" s="17" t="s">
        <v>16</v>
      </c>
      <c r="F25" s="4" t="s">
        <v>14</v>
      </c>
      <c r="G25" s="5"/>
    </row>
    <row r="26" customFormat="false" ht="25.5" hidden="false" customHeight="true" outlineLevel="0" collapsed="false">
      <c r="A26" s="7" t="s">
        <v>48</v>
      </c>
      <c r="B26" s="7" t="s">
        <v>49</v>
      </c>
      <c r="C26" s="8" t="s">
        <v>53</v>
      </c>
      <c r="D26" s="7" t="s">
        <v>18</v>
      </c>
      <c r="E26" s="10" t="s">
        <v>13</v>
      </c>
      <c r="F26" s="7" t="s">
        <v>14</v>
      </c>
      <c r="G26" s="8"/>
    </row>
    <row r="27" customFormat="false" ht="30" hidden="false" customHeight="true" outlineLevel="0" collapsed="false">
      <c r="A27" s="13" t="s">
        <v>54</v>
      </c>
      <c r="B27" s="13" t="s">
        <v>55</v>
      </c>
      <c r="C27" s="14" t="s">
        <v>56</v>
      </c>
      <c r="D27" s="13" t="s">
        <v>12</v>
      </c>
      <c r="E27" s="13" t="s">
        <v>28</v>
      </c>
      <c r="F27" s="13"/>
      <c r="G27" s="14"/>
    </row>
    <row r="29" customFormat="false" ht="15" hidden="false" customHeight="false" outlineLevel="0" collapsed="false">
      <c r="B29" s="18" t="s">
        <v>57</v>
      </c>
      <c r="C29" s="19" t="str">
        <f aca="false">COUNTIF(F5:F27,"Done") &amp; " / " &amp; COUNTA(F5:F27) &amp; " (incl. gates)"</f>
        <v>0 / 19 (incl. gates)</v>
      </c>
    </row>
  </sheetData>
  <mergeCells count="2">
    <mergeCell ref="A1:G1"/>
    <mergeCell ref="A2:G2"/>
  </mergeCells>
  <conditionalFormatting sqref="F5:F27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dataValidations count="2">
    <dataValidation allowBlank="true" errorStyle="stop" operator="between" showDropDown="false" showErrorMessage="false" showInputMessage="false" sqref="F5:F27" type="list">
      <formula1>"Not started,In progress,Done,Blocked"</formula1>
      <formula2>0</formula2>
    </dataValidation>
    <dataValidation allowBlank="true" errorStyle="stop" operator="between" showDropDown="false" showErrorMessage="false" showInputMessage="false" sqref="D5:D27" type="list">
      <formula1>"A,B,Both"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34"/>
  </cols>
  <sheetData>
    <row r="1" customFormat="false" ht="25.5" hidden="false" customHeight="true" outlineLevel="0" collapsed="false">
      <c r="A1" s="1" t="s">
        <v>58</v>
      </c>
      <c r="B1" s="1"/>
      <c r="C1" s="1"/>
      <c r="D1" s="1"/>
    </row>
    <row r="2" customFormat="false" ht="15.75" hidden="false" customHeight="true" outlineLevel="0" collapsed="false">
      <c r="A2" s="2" t="s">
        <v>59</v>
      </c>
      <c r="B2" s="2"/>
      <c r="C2" s="2"/>
      <c r="D2" s="2"/>
    </row>
    <row r="4" customFormat="false" ht="15" hidden="false" customHeight="false" outlineLevel="0" collapsed="false">
      <c r="A4" s="3" t="s">
        <v>60</v>
      </c>
      <c r="B4" s="3" t="s">
        <v>61</v>
      </c>
      <c r="C4" s="3" t="s">
        <v>62</v>
      </c>
      <c r="D4" s="3" t="s">
        <v>8</v>
      </c>
    </row>
    <row r="5" customFormat="false" ht="24" hidden="false" customHeight="true" outlineLevel="0" collapsed="false">
      <c r="A5" s="4" t="s">
        <v>63</v>
      </c>
      <c r="B5" s="5" t="s">
        <v>64</v>
      </c>
      <c r="C5" s="4"/>
      <c r="D5" s="5"/>
    </row>
    <row r="6" customFormat="false" ht="24" hidden="false" customHeight="true" outlineLevel="0" collapsed="false">
      <c r="A6" s="20" t="s">
        <v>63</v>
      </c>
      <c r="B6" s="21" t="s">
        <v>65</v>
      </c>
      <c r="C6" s="20"/>
      <c r="D6" s="21"/>
    </row>
    <row r="7" customFormat="false" ht="24" hidden="false" customHeight="true" outlineLevel="0" collapsed="false">
      <c r="A7" s="4" t="s">
        <v>66</v>
      </c>
      <c r="B7" s="5" t="s">
        <v>67</v>
      </c>
      <c r="C7" s="4"/>
      <c r="D7" s="5"/>
    </row>
    <row r="8" customFormat="false" ht="24" hidden="false" customHeight="true" outlineLevel="0" collapsed="false">
      <c r="A8" s="20" t="s">
        <v>66</v>
      </c>
      <c r="B8" s="21" t="s">
        <v>68</v>
      </c>
      <c r="C8" s="20"/>
      <c r="D8" s="21"/>
    </row>
    <row r="9" customFormat="false" ht="24" hidden="false" customHeight="true" outlineLevel="0" collapsed="false">
      <c r="A9" s="4" t="s">
        <v>66</v>
      </c>
      <c r="B9" s="5" t="s">
        <v>69</v>
      </c>
      <c r="C9" s="4"/>
      <c r="D9" s="5"/>
    </row>
    <row r="10" customFormat="false" ht="24" hidden="false" customHeight="true" outlineLevel="0" collapsed="false">
      <c r="A10" s="20" t="s">
        <v>70</v>
      </c>
      <c r="B10" s="21" t="s">
        <v>71</v>
      </c>
      <c r="C10" s="20"/>
      <c r="D10" s="21"/>
    </row>
    <row r="11" customFormat="false" ht="24" hidden="false" customHeight="true" outlineLevel="0" collapsed="false">
      <c r="A11" s="4" t="s">
        <v>70</v>
      </c>
      <c r="B11" s="5" t="s">
        <v>72</v>
      </c>
      <c r="C11" s="4"/>
      <c r="D11" s="5"/>
    </row>
    <row r="12" customFormat="false" ht="24" hidden="false" customHeight="true" outlineLevel="0" collapsed="false">
      <c r="A12" s="13" t="s">
        <v>73</v>
      </c>
      <c r="B12" s="14" t="s">
        <v>74</v>
      </c>
      <c r="C12" s="13"/>
      <c r="D12" s="14"/>
    </row>
    <row r="13" customFormat="false" ht="24" hidden="false" customHeight="true" outlineLevel="0" collapsed="false">
      <c r="A13" s="13" t="s">
        <v>73</v>
      </c>
      <c r="B13" s="14" t="s">
        <v>75</v>
      </c>
      <c r="C13" s="13"/>
      <c r="D13" s="14"/>
    </row>
    <row r="14" customFormat="false" ht="24" hidden="false" customHeight="true" outlineLevel="0" collapsed="false">
      <c r="A14" s="13" t="s">
        <v>73</v>
      </c>
      <c r="B14" s="14" t="s">
        <v>76</v>
      </c>
      <c r="C14" s="13"/>
      <c r="D14" s="14"/>
    </row>
    <row r="15" customFormat="false" ht="24" hidden="false" customHeight="true" outlineLevel="0" collapsed="false">
      <c r="A15" s="13" t="s">
        <v>73</v>
      </c>
      <c r="B15" s="14" t="s">
        <v>77</v>
      </c>
      <c r="C15" s="13"/>
      <c r="D15" s="14"/>
    </row>
    <row r="17" customFormat="false" ht="15" hidden="false" customHeight="false" outlineLevel="0" collapsed="false">
      <c r="A17" s="22" t="s">
        <v>78</v>
      </c>
      <c r="B17" s="18" t="s">
        <v>79</v>
      </c>
    </row>
    <row r="18" customFormat="false" ht="21.75" hidden="false" customHeight="true" outlineLevel="0" collapsed="false">
      <c r="B18" s="23" t="s">
        <v>80</v>
      </c>
      <c r="C18" s="23"/>
      <c r="D18" s="23"/>
    </row>
    <row r="19" customFormat="false" ht="21.75" hidden="false" customHeight="true" outlineLevel="0" collapsed="false">
      <c r="B19" s="23" t="s">
        <v>81</v>
      </c>
      <c r="C19" s="23"/>
      <c r="D19" s="23"/>
    </row>
    <row r="20" customFormat="false" ht="21.75" hidden="false" customHeight="true" outlineLevel="0" collapsed="false">
      <c r="B20" s="23" t="s">
        <v>82</v>
      </c>
      <c r="C20" s="23"/>
      <c r="D20" s="23"/>
    </row>
    <row r="21" customFormat="false" ht="21.75" hidden="false" customHeight="true" outlineLevel="0" collapsed="false">
      <c r="B21" s="23" t="s">
        <v>83</v>
      </c>
      <c r="C21" s="23"/>
      <c r="D21" s="23"/>
    </row>
  </sheetData>
  <mergeCells count="6">
    <mergeCell ref="A1:D1"/>
    <mergeCell ref="A2:D2"/>
    <mergeCell ref="B18:D18"/>
    <mergeCell ref="B19:D19"/>
    <mergeCell ref="B20:D20"/>
    <mergeCell ref="B21:D21"/>
  </mergeCells>
  <dataValidations count="1">
    <dataValidation allowBlank="true" errorStyle="stop" operator="between" showDropDown="false" showErrorMessage="false" showInputMessage="false" sqref="C5:C15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1" t="s">
        <v>84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85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G4" s="3" t="s">
        <v>92</v>
      </c>
      <c r="H4" s="3" t="s">
        <v>93</v>
      </c>
    </row>
    <row r="5" customFormat="false" ht="21.75" hidden="false" customHeight="true" outlineLevel="0" collapsed="false">
      <c r="A5" s="24" t="s">
        <v>94</v>
      </c>
      <c r="B5" s="24" t="s">
        <v>21</v>
      </c>
      <c r="C5" s="25" t="s">
        <v>95</v>
      </c>
      <c r="D5" s="26" t="n">
        <v>0</v>
      </c>
      <c r="E5" s="26" t="n">
        <v>0.072</v>
      </c>
      <c r="F5" s="27" t="n">
        <f aca="false">IF(AND(ISNUMBER(D5),ISNUMBER(E5)),E5-D5,"")</f>
        <v>0.072</v>
      </c>
      <c r="G5" s="24" t="s">
        <v>96</v>
      </c>
      <c r="H5" s="25" t="s">
        <v>97</v>
      </c>
    </row>
    <row r="6" customFormat="false" ht="21.75" hidden="false" customHeight="true" outlineLevel="0" collapsed="false">
      <c r="A6" s="4"/>
      <c r="B6" s="4"/>
      <c r="C6" s="5"/>
      <c r="D6" s="28"/>
      <c r="E6" s="28"/>
      <c r="F6" s="29" t="str">
        <f aca="false">IF(AND(ISNUMBER(D6),ISNUMBER(E6)),E6-D6,"")</f>
        <v/>
      </c>
      <c r="G6" s="4"/>
      <c r="H6" s="5"/>
    </row>
    <row r="7" customFormat="false" ht="21.75" hidden="false" customHeight="true" outlineLevel="0" collapsed="false">
      <c r="A7" s="7"/>
      <c r="B7" s="7"/>
      <c r="C7" s="8"/>
      <c r="D7" s="30"/>
      <c r="E7" s="30"/>
      <c r="F7" s="31" t="str">
        <f aca="false">IF(AND(ISNUMBER(D7),ISNUMBER(E7)),E7-D7,"")</f>
        <v/>
      </c>
      <c r="G7" s="7"/>
      <c r="H7" s="8"/>
    </row>
    <row r="8" customFormat="false" ht="21.75" hidden="false" customHeight="true" outlineLevel="0" collapsed="false">
      <c r="A8" s="4"/>
      <c r="B8" s="4"/>
      <c r="C8" s="5"/>
      <c r="D8" s="28"/>
      <c r="E8" s="28"/>
      <c r="F8" s="29" t="str">
        <f aca="false">IF(AND(ISNUMBER(D8),ISNUMBER(E8)),E8-D8,"")</f>
        <v/>
      </c>
      <c r="G8" s="4"/>
      <c r="H8" s="5"/>
    </row>
    <row r="9" customFormat="false" ht="21.75" hidden="false" customHeight="true" outlineLevel="0" collapsed="false">
      <c r="A9" s="7"/>
      <c r="B9" s="7"/>
      <c r="C9" s="8"/>
      <c r="D9" s="30"/>
      <c r="E9" s="30"/>
      <c r="F9" s="31" t="str">
        <f aca="false">IF(AND(ISNUMBER(D9),ISNUMBER(E9)),E9-D9,"")</f>
        <v/>
      </c>
      <c r="G9" s="7"/>
      <c r="H9" s="8"/>
    </row>
    <row r="10" customFormat="false" ht="21.75" hidden="false" customHeight="true" outlineLevel="0" collapsed="false">
      <c r="A10" s="4"/>
      <c r="B10" s="4"/>
      <c r="C10" s="5"/>
      <c r="D10" s="28"/>
      <c r="E10" s="28"/>
      <c r="F10" s="29" t="str">
        <f aca="false">IF(AND(ISNUMBER(D10),ISNUMBER(E10)),E10-D10,"")</f>
        <v/>
      </c>
      <c r="G10" s="4"/>
      <c r="H10" s="5"/>
    </row>
    <row r="11" customFormat="false" ht="21.75" hidden="false" customHeight="true" outlineLevel="0" collapsed="false">
      <c r="A11" s="7"/>
      <c r="B11" s="7"/>
      <c r="C11" s="8"/>
      <c r="D11" s="30"/>
      <c r="E11" s="30"/>
      <c r="F11" s="31" t="str">
        <f aca="false">IF(AND(ISNUMBER(D11),ISNUMBER(E11)),E11-D11,"")</f>
        <v/>
      </c>
      <c r="G11" s="7"/>
      <c r="H11" s="8"/>
    </row>
    <row r="12" customFormat="false" ht="21.75" hidden="false" customHeight="true" outlineLevel="0" collapsed="false">
      <c r="A12" s="4"/>
      <c r="B12" s="4"/>
      <c r="C12" s="5"/>
      <c r="D12" s="28"/>
      <c r="E12" s="28"/>
      <c r="F12" s="29" t="str">
        <f aca="false">IF(AND(ISNUMBER(D12),ISNUMBER(E12)),E12-D12,"")</f>
        <v/>
      </c>
      <c r="G12" s="4"/>
      <c r="H12" s="5"/>
    </row>
    <row r="13" customFormat="false" ht="21.75" hidden="false" customHeight="true" outlineLevel="0" collapsed="false">
      <c r="A13" s="7"/>
      <c r="B13" s="7"/>
      <c r="C13" s="8"/>
      <c r="D13" s="30"/>
      <c r="E13" s="30"/>
      <c r="F13" s="31" t="str">
        <f aca="false">IF(AND(ISNUMBER(D13),ISNUMBER(E13)),E13-D13,"")</f>
        <v/>
      </c>
      <c r="G13" s="7"/>
      <c r="H13" s="8"/>
    </row>
    <row r="14" customFormat="false" ht="21.75" hidden="false" customHeight="true" outlineLevel="0" collapsed="false">
      <c r="A14" s="4"/>
      <c r="B14" s="4"/>
      <c r="C14" s="5"/>
      <c r="D14" s="28"/>
      <c r="E14" s="28"/>
      <c r="F14" s="29" t="str">
        <f aca="false">IF(AND(ISNUMBER(D14),ISNUMBER(E14)),E14-D14,"")</f>
        <v/>
      </c>
      <c r="G14" s="4"/>
      <c r="H14" s="5"/>
    </row>
    <row r="15" customFormat="false" ht="21.75" hidden="false" customHeight="true" outlineLevel="0" collapsed="false">
      <c r="A15" s="7"/>
      <c r="B15" s="7"/>
      <c r="C15" s="8"/>
      <c r="D15" s="30"/>
      <c r="E15" s="30"/>
      <c r="F15" s="31" t="str">
        <f aca="false">IF(AND(ISNUMBER(D15),ISNUMBER(E15)),E15-D15,"")</f>
        <v/>
      </c>
      <c r="G15" s="7"/>
      <c r="H15" s="8"/>
    </row>
    <row r="16" customFormat="false" ht="21.75" hidden="false" customHeight="true" outlineLevel="0" collapsed="false">
      <c r="A16" s="4"/>
      <c r="B16" s="4"/>
      <c r="C16" s="5"/>
      <c r="D16" s="28"/>
      <c r="E16" s="28"/>
      <c r="F16" s="29" t="str">
        <f aca="false">IF(AND(ISNUMBER(D16),ISNUMBER(E16)),E16-D16,"")</f>
        <v/>
      </c>
      <c r="G16" s="4"/>
      <c r="H16" s="5"/>
    </row>
    <row r="17" customFormat="false" ht="21.75" hidden="false" customHeight="true" outlineLevel="0" collapsed="false">
      <c r="A17" s="7"/>
      <c r="B17" s="7"/>
      <c r="C17" s="8"/>
      <c r="D17" s="30"/>
      <c r="E17" s="30"/>
      <c r="F17" s="31" t="str">
        <f aca="false">IF(AND(ISNUMBER(D17),ISNUMBER(E17)),E17-D17,"")</f>
        <v/>
      </c>
      <c r="G17" s="7"/>
      <c r="H17" s="8"/>
    </row>
    <row r="18" customFormat="false" ht="21.75" hidden="false" customHeight="true" outlineLevel="0" collapsed="false">
      <c r="A18" s="4"/>
      <c r="B18" s="4"/>
      <c r="C18" s="5"/>
      <c r="D18" s="28"/>
      <c r="E18" s="28"/>
      <c r="F18" s="29" t="str">
        <f aca="false">IF(AND(ISNUMBER(D18),ISNUMBER(E18)),E18-D18,"")</f>
        <v/>
      </c>
      <c r="G18" s="4"/>
      <c r="H18" s="5"/>
    </row>
    <row r="19" customFormat="false" ht="21.75" hidden="false" customHeight="true" outlineLevel="0" collapsed="false">
      <c r="A19" s="7"/>
      <c r="B19" s="7"/>
      <c r="C19" s="8"/>
      <c r="D19" s="30"/>
      <c r="E19" s="30"/>
      <c r="F19" s="31" t="str">
        <f aca="false">IF(AND(ISNUMBER(D19),ISNUMBER(E19)),E19-D19,"")</f>
        <v/>
      </c>
      <c r="G19" s="7"/>
      <c r="H19" s="8"/>
    </row>
    <row r="20" customFormat="false" ht="21.75" hidden="false" customHeight="true" outlineLevel="0" collapsed="false">
      <c r="A20" s="4"/>
      <c r="B20" s="4"/>
      <c r="C20" s="5"/>
      <c r="D20" s="28"/>
      <c r="E20" s="28"/>
      <c r="F20" s="29" t="str">
        <f aca="false">IF(AND(ISNUMBER(D20),ISNUMBER(E20)),E20-D20,"")</f>
        <v/>
      </c>
      <c r="G20" s="4"/>
      <c r="H20" s="5"/>
    </row>
    <row r="21" customFormat="false" ht="21.75" hidden="false" customHeight="true" outlineLevel="0" collapsed="false">
      <c r="A21" s="7"/>
      <c r="B21" s="7"/>
      <c r="C21" s="8"/>
      <c r="D21" s="30"/>
      <c r="E21" s="30"/>
      <c r="F21" s="31" t="str">
        <f aca="false">IF(AND(ISNUMBER(D21),ISNUMBER(E21)),E21-D21,"")</f>
        <v/>
      </c>
      <c r="G21" s="7"/>
      <c r="H21" s="8"/>
    </row>
    <row r="22" customFormat="false" ht="21.75" hidden="false" customHeight="true" outlineLevel="0" collapsed="false">
      <c r="A22" s="4"/>
      <c r="B22" s="4"/>
      <c r="C22" s="5"/>
      <c r="D22" s="28"/>
      <c r="E22" s="28"/>
      <c r="F22" s="29" t="str">
        <f aca="false">IF(AND(ISNUMBER(D22),ISNUMBER(E22)),E22-D22,"")</f>
        <v/>
      </c>
      <c r="G22" s="4"/>
      <c r="H22" s="5"/>
    </row>
    <row r="23" customFormat="false" ht="21.75" hidden="false" customHeight="true" outlineLevel="0" collapsed="false">
      <c r="A23" s="7"/>
      <c r="B23" s="7"/>
      <c r="C23" s="8"/>
      <c r="D23" s="30"/>
      <c r="E23" s="30"/>
      <c r="F23" s="31" t="str">
        <f aca="false">IF(AND(ISNUMBER(D23),ISNUMBER(E23)),E23-D23,"")</f>
        <v/>
      </c>
      <c r="G23" s="7"/>
      <c r="H23" s="8"/>
    </row>
    <row r="24" customFormat="false" ht="21.75" hidden="false" customHeight="true" outlineLevel="0" collapsed="false">
      <c r="A24" s="4"/>
      <c r="B24" s="4"/>
      <c r="C24" s="5"/>
      <c r="D24" s="28"/>
      <c r="E24" s="28"/>
      <c r="F24" s="29" t="str">
        <f aca="false">IF(AND(ISNUMBER(D24),ISNUMBER(E24)),E24-D24,"")</f>
        <v/>
      </c>
      <c r="G24" s="4"/>
      <c r="H24" s="5"/>
    </row>
    <row r="25" customFormat="false" ht="21.75" hidden="false" customHeight="true" outlineLevel="0" collapsed="false">
      <c r="A25" s="7"/>
      <c r="B25" s="7"/>
      <c r="C25" s="8"/>
      <c r="D25" s="30"/>
      <c r="E25" s="30"/>
      <c r="F25" s="31" t="str">
        <f aca="false">IF(AND(ISNUMBER(D25),ISNUMBER(E25)),E25-D25,"")</f>
        <v/>
      </c>
      <c r="G25" s="7"/>
      <c r="H25" s="8"/>
    </row>
    <row r="26" customFormat="false" ht="21.75" hidden="false" customHeight="true" outlineLevel="0" collapsed="false">
      <c r="A26" s="4"/>
      <c r="B26" s="4"/>
      <c r="C26" s="5"/>
      <c r="D26" s="28"/>
      <c r="E26" s="28"/>
      <c r="F26" s="29" t="str">
        <f aca="false">IF(AND(ISNUMBER(D26),ISNUMBER(E26)),E26-D26,"")</f>
        <v/>
      </c>
      <c r="G26" s="4"/>
      <c r="H26" s="5"/>
    </row>
    <row r="27" customFormat="false" ht="21.75" hidden="false" customHeight="true" outlineLevel="0" collapsed="false">
      <c r="A27" s="7"/>
      <c r="B27" s="7"/>
      <c r="C27" s="8"/>
      <c r="D27" s="30"/>
      <c r="E27" s="30"/>
      <c r="F27" s="31" t="str">
        <f aca="false">IF(AND(ISNUMBER(D27),ISNUMBER(E27)),E27-D27,"")</f>
        <v/>
      </c>
      <c r="G27" s="7"/>
      <c r="H27" s="8"/>
    </row>
    <row r="28" customFormat="false" ht="21.75" hidden="false" customHeight="true" outlineLevel="0" collapsed="false">
      <c r="A28" s="4"/>
      <c r="B28" s="4"/>
      <c r="C28" s="5"/>
      <c r="D28" s="28"/>
      <c r="E28" s="28"/>
      <c r="F28" s="29" t="str">
        <f aca="false">IF(AND(ISNUMBER(D28),ISNUMBER(E28)),E28-D28,"")</f>
        <v/>
      </c>
      <c r="G28" s="4"/>
      <c r="H28" s="5"/>
    </row>
    <row r="29" customFormat="false" ht="21.75" hidden="false" customHeight="true" outlineLevel="0" collapsed="false">
      <c r="A29" s="7"/>
      <c r="B29" s="7"/>
      <c r="C29" s="8"/>
      <c r="D29" s="30"/>
      <c r="E29" s="30"/>
      <c r="F29" s="31" t="str">
        <f aca="false">IF(AND(ISNUMBER(D29),ISNUMBER(E29)),E29-D29,"")</f>
        <v/>
      </c>
      <c r="G29" s="7"/>
      <c r="H29" s="8"/>
    </row>
  </sheetData>
  <mergeCells count="2">
    <mergeCell ref="A1:H1"/>
    <mergeCell ref="A2:H2"/>
  </mergeCells>
  <conditionalFormatting sqref="F5:F29">
    <cfRule type="cellIs" priority="2" operator="greaterThan" aboveAverage="0" equalAverage="0" bottom="0" percent="0" rank="0" text="" dxfId="3">
      <formula>0</formula>
    </cfRule>
    <cfRule type="cellIs" priority="3" operator="lessThan" aboveAverage="0" equalAverage="0" bottom="0" percent="0" rank="0" text="" dxfId="4">
      <formula>0</formula>
    </cfRule>
  </conditionalFormatting>
  <dataValidations count="1">
    <dataValidation allowBlank="true" errorStyle="stop" operator="between" showDropDown="false" showErrorMessage="false" showInputMessage="false" sqref="G5:G29" type="list">
      <formula1>"Keep,Drop,Investigate"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6"/>
  </cols>
  <sheetData>
    <row r="1" customFormat="false" ht="25.5" hidden="false" customHeight="true" outlineLevel="0" collapsed="false">
      <c r="A1" s="1" t="s">
        <v>98</v>
      </c>
      <c r="B1" s="1"/>
    </row>
    <row r="2" customFormat="false" ht="15.75" hidden="false" customHeight="true" outlineLevel="0" collapsed="false">
      <c r="A2" s="2" t="s">
        <v>99</v>
      </c>
      <c r="B2" s="2"/>
    </row>
    <row r="4" customFormat="false" ht="15" hidden="false" customHeight="false" outlineLevel="0" collapsed="false">
      <c r="A4" s="3" t="s">
        <v>100</v>
      </c>
      <c r="B4" s="3" t="s">
        <v>101</v>
      </c>
    </row>
    <row r="5" customFormat="false" ht="42" hidden="false" customHeight="true" outlineLevel="0" collapsed="false">
      <c r="A5" s="32" t="s">
        <v>102</v>
      </c>
      <c r="B5" s="33" t="s">
        <v>103</v>
      </c>
    </row>
    <row r="6" customFormat="false" ht="42" hidden="false" customHeight="true" outlineLevel="0" collapsed="false">
      <c r="A6" s="34" t="s">
        <v>104</v>
      </c>
      <c r="B6" s="35" t="s">
        <v>105</v>
      </c>
    </row>
    <row r="7" customFormat="false" ht="42" hidden="false" customHeight="true" outlineLevel="0" collapsed="false">
      <c r="A7" s="32" t="s">
        <v>106</v>
      </c>
      <c r="B7" s="33" t="s">
        <v>107</v>
      </c>
    </row>
    <row r="8" customFormat="false" ht="42" hidden="false" customHeight="true" outlineLevel="0" collapsed="false">
      <c r="A8" s="34" t="s">
        <v>108</v>
      </c>
      <c r="B8" s="35" t="s">
        <v>109</v>
      </c>
    </row>
    <row r="9" customFormat="false" ht="42" hidden="false" customHeight="true" outlineLevel="0" collapsed="false">
      <c r="A9" s="32" t="s">
        <v>110</v>
      </c>
      <c r="B9" s="33" t="s">
        <v>111</v>
      </c>
    </row>
    <row r="10" customFormat="false" ht="42" hidden="false" customHeight="true" outlineLevel="0" collapsed="false">
      <c r="A10" s="34" t="s">
        <v>112</v>
      </c>
      <c r="B10" s="35" t="s">
        <v>113</v>
      </c>
    </row>
    <row r="11" customFormat="false" ht="42" hidden="false" customHeight="true" outlineLevel="0" collapsed="false">
      <c r="A11" s="32" t="s">
        <v>114</v>
      </c>
      <c r="B11" s="33" t="s">
        <v>115</v>
      </c>
    </row>
    <row r="12" customFormat="false" ht="42" hidden="false" customHeight="true" outlineLevel="0" collapsed="false">
      <c r="A12" s="34" t="s">
        <v>116</v>
      </c>
      <c r="B12" s="35" t="s">
        <v>117</v>
      </c>
    </row>
    <row r="13" customFormat="false" ht="42" hidden="false" customHeight="true" outlineLevel="0" collapsed="false">
      <c r="A13" s="32" t="s">
        <v>118</v>
      </c>
      <c r="B13" s="33" t="s">
        <v>119</v>
      </c>
    </row>
    <row r="14" customFormat="false" ht="42" hidden="false" customHeight="true" outlineLevel="0" collapsed="false">
      <c r="A14" s="34" t="s">
        <v>120</v>
      </c>
      <c r="B14" s="35" t="s">
        <v>121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2026-06-01T12:39:43Z</dcterms:created>
  <dc:creator>openpyxl</dc:creator>
  <dc:description/>
  <dc:language>en-US</dc:language>
  <cp:lastModifiedBy/>
  <dcterms:modified xsi:type="dcterms:W3CDTF">2026-06-01T12:39:43Z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